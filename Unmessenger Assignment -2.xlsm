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b2874ca15cd4422/Learn - Data Scientist/Assignments/Internship/"/>
    </mc:Choice>
  </mc:AlternateContent>
  <xr:revisionPtr revIDLastSave="124" documentId="8_{6C6E48CC-3E4F-47D7-A6C4-3D3C31C64A5D}" xr6:coauthVersionLast="47" xr6:coauthVersionMax="47" xr10:uidLastSave="{210B93FA-2CDD-43E7-B7CD-B1E4FB2EA8B5}"/>
  <bookViews>
    <workbookView xWindow="-108" yWindow="-108" windowWidth="23256" windowHeight="12456" xr2:uid="{6062794C-D024-45A6-BAC4-75B41AD6892C}"/>
  </bookViews>
  <sheets>
    <sheet name="Unmessenger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2" l="1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2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2" i="2"/>
  <c r="N7" i="2"/>
  <c r="N6" i="2"/>
  <c r="N2" i="2"/>
  <c r="N3" i="2"/>
  <c r="N4" i="2"/>
  <c r="N5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</calcChain>
</file>

<file path=xl/sharedStrings.xml><?xml version="1.0" encoding="utf-8"?>
<sst xmlns="http://schemas.openxmlformats.org/spreadsheetml/2006/main" count="293" uniqueCount="158">
  <si>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</si>
  <si>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</si>
  <si>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</si>
  <si>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</si>
  <si>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</si>
  <si>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</si>
  <si>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</si>
  <si>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</si>
  <si>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</si>
  <si>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</si>
  <si>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</si>
  <si>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</si>
  <si>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</si>
  <si>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</si>
  <si>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</si>
  <si>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</si>
  <si>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</si>
  <si>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</si>
  <si>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</si>
  <si>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</si>
  <si>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</si>
  <si>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</si>
  <si>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</si>
  <si>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</si>
  <si>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</si>
  <si>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</si>
  <si>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</si>
  <si>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</si>
  <si>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</si>
  <si>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</si>
  <si>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</si>
  <si>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</si>
  <si>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</si>
  <si>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</si>
  <si>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</si>
  <si>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</si>
  <si>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</si>
  <si>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</si>
  <si>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</si>
  <si>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</si>
  <si>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</si>
  <si>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</si>
  <si>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</si>
  <si>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</si>
  <si>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</si>
  <si>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</si>
  <si>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</si>
  <si>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</si>
  <si>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</si>
  <si>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</si>
  <si>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</si>
  <si>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</si>
  <si>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</si>
  <si>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</si>
  <si>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</si>
  <si>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</si>
  <si>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</si>
  <si>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</si>
  <si>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</si>
  <si>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</si>
  <si>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</si>
  <si>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</si>
  <si>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</si>
  <si>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</si>
  <si>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</si>
  <si>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</si>
  <si>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</si>
  <si>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</si>
  <si>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</si>
  <si>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</si>
  <si>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</si>
  <si>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</si>
  <si>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</si>
  <si>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</si>
  <si>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</si>
  <si>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</si>
  <si>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</si>
  <si>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</si>
  <si>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</si>
  <si>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</si>
  <si>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</si>
  <si>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</si>
  <si>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</si>
  <si>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</si>
  <si>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</si>
  <si>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</si>
  <si>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</si>
  <si>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</si>
  <si>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</si>
  <si>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</si>
  <si>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</si>
  <si>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</si>
  <si>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</si>
  <si>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</si>
  <si>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</si>
  <si>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</si>
  <si>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</si>
  <si>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</si>
  <si>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</si>
  <si>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</si>
  <si>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</si>
  <si>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</si>
  <si>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</si>
  <si>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</si>
  <si>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</si>
  <si>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</si>
  <si>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</si>
  <si>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</si>
  <si>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</si>
  <si>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</si>
  <si>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</si>
  <si>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</si>
  <si>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</si>
  <si>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</si>
  <si>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</si>
  <si>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</si>
  <si>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</si>
  <si>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</si>
  <si>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</si>
  <si>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</si>
  <si>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</si>
  <si>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</si>
  <si>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</si>
  <si>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</si>
  <si>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</si>
  <si>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</si>
  <si>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</si>
  <si>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</si>
  <si>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</si>
  <si>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</si>
  <si>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</si>
  <si>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</si>
  <si>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</si>
  <si>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</si>
  <si>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</si>
  <si>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</si>
  <si>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</si>
  <si>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</si>
  <si>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</si>
  <si>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</si>
  <si>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</si>
  <si>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</si>
  <si>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</si>
  <si>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</si>
  <si>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</si>
  <si>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</si>
  <si>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</si>
  <si>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</si>
  <si>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</si>
  <si>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HR</t>
  </si>
  <si>
    <t>Finance/Accounts</t>
  </si>
  <si>
    <t>Mangement</t>
  </si>
  <si>
    <t>Data Science</t>
  </si>
  <si>
    <t>DaTa SciENce</t>
  </si>
  <si>
    <t>91-6666666666</t>
  </si>
  <si>
    <t>New Name List</t>
  </si>
  <si>
    <t>Emails</t>
  </si>
  <si>
    <t xml:space="preserve">Address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</si>
</sst>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3">
    <dxf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9F12B-4CE1-4300-8AB0-46140652D97E}">
  <dimension ref="C1:T49"/>
  <sheetViews>
    <sheetView tabSelected="1" workbookViewId="0">
      <selection activeCell="M1" sqref="M1:T1"/>
    </sheetView>
  </sheetViews>
  <sheetFormatPr defaultRowHeight="14.4" x14ac:dyDescent="0.3"/>
  <cols>
    <col min="4" max="4" width="13.109375" bestFit="1" customWidth="1"/>
    <col min="5" max="5" width="4" bestFit="1" customWidth="1"/>
    <col min="7" max="7" width="15.5546875" bestFit="1" customWidth="1"/>
    <col min="8" max="8" width="25.109375" bestFit="1" customWidth="1"/>
    <col min="9" max="9" width="13.77734375" bestFit="1" customWidth="1"/>
    <col min="10" max="10" width="36.5546875" bestFit="1" customWidth="1"/>
    <col min="14" max="14" width="14" bestFit="1" customWidth="1"/>
    <col min="17" max="17" width="17.6640625" bestFit="1" customWidth="1"/>
    <col min="18" max="18" width="25.109375" bestFit="1" customWidth="1"/>
    <col min="19" max="19" width="15.5546875" bestFit="1" customWidth="1"/>
    <col min="20" max="20" width="36.5546875" bestFit="1" customWidth="1"/>
  </cols>
  <sheetData>
    <row r="1" spans="3:20" x14ac:dyDescent="0.3">
      <c r="C1" s="1" t="s">
        <v>1</v>
      </c>
      <c r="D1" s="1" t="s">
        <v>0</v>
      </c>
      <c r="E1" s="1" t="s">
        <v>2</v>
      </c>
      <c r="F1" s="1" t="s">
        <v>3</v>
      </c>
      <c r="G1" s="1" t="s">
        <v>140</v>
      </c>
      <c r="H1" s="1" t="s">
        <v>4</v>
      </c>
      <c r="I1" s="1" t="s">
        <v>5</v>
      </c>
      <c r="J1" s="1" t="s">
        <v>6</v>
      </c>
      <c r="K1" s="1" t="s">
        <v>134</v>
      </c>
      <c r="M1" s="2" t="s">
        <v>1</v>
      </c>
      <c r="N1" s="2" t="s">
        <v>155</v>
      </c>
      <c r="O1" s="2" t="s">
        <v>2</v>
      </c>
      <c r="P1" s="2" t="s">
        <v>3</v>
      </c>
      <c r="Q1" s="2" t="s">
        <v>5</v>
      </c>
      <c r="R1" s="2" t="s">
        <v>156</v>
      </c>
      <c r="S1" s="2" t="s">
        <v>140</v>
      </c>
      <c r="T1" s="2" t="s">
        <v>157</v>
      </c>
    </row>
    <row r="2" spans="3:20" x14ac:dyDescent="0.3">
      <c r="C2">
        <v>1</v>
      </c>
      <c r="D2" t="s">
        <v>33</v>
      </c>
      <c r="E2">
        <v>32</v>
      </c>
      <c r="F2" t="s">
        <v>8</v>
      </c>
      <c r="G2" t="s">
        <v>147</v>
      </c>
      <c r="H2" t="s">
        <v>34</v>
      </c>
      <c r="I2" t="s">
        <v>135</v>
      </c>
      <c r="J2" t="s">
        <v>35</v>
      </c>
      <c r="K2">
        <v>4553</v>
      </c>
      <c r="M2">
        <v>1</v>
      </c>
      <c r="N2" t="str">
        <f>PROPER(IF(D2="",(SUBSTITUTE(LEFT(H2,FIND("@",H2)-1),"."," ")),D2))</f>
        <v>John Doe</v>
      </c>
      <c r="O2">
        <f>IF(ISBLANK(E2),AVERAGE(E:E),E2)</f>
        <v>32</v>
      </c>
      <c r="P2" t="s">
        <v>8</v>
      </c>
      <c r="Q2" t="str">
        <f>IF(LEFT(I2,3)="91-",I2,CONCATENATE("(91-",REPLACE(SUBSTITUTE(I2," ",""),1,0,""),")"))</f>
        <v>91-1234567890</v>
      </c>
      <c r="R2" t="str">
        <f>IF(H2="","support@dataisgood.com",H2)</f>
        <v>john.doe@gmail.com</v>
      </c>
      <c r="S2" t="str">
        <f>IFERROR(PROPER(SUBSTITUTE(G2,"Sales","Sles")),G2)</f>
        <v>Operations</v>
      </c>
      <c r="T2" t="str">
        <f>IF(ISBLANK(J2),"address not available",J2)</f>
        <v>123 Main St, Bangalore, Karnataka, India</v>
      </c>
    </row>
    <row r="3" spans="3:20" x14ac:dyDescent="0.3">
      <c r="C3">
        <v>2</v>
      </c>
      <c r="D3" t="s">
        <v>36</v>
      </c>
      <c r="E3">
        <v>28</v>
      </c>
      <c r="F3" t="s">
        <v>12</v>
      </c>
      <c r="G3" t="s">
        <v>148</v>
      </c>
      <c r="H3" t="s">
        <v>37</v>
      </c>
      <c r="I3" t="s">
        <v>136</v>
      </c>
      <c r="J3" t="s">
        <v>38</v>
      </c>
      <c r="K3">
        <v>31169</v>
      </c>
      <c r="M3">
        <v>2</v>
      </c>
      <c r="N3" t="str">
        <f>PROPER(IF(D3="",(SUBSTITUTE(LEFT(H3,FIND("@",H3)-1),"."," ")),D3))</f>
        <v>Jane Smith</v>
      </c>
      <c r="O3">
        <f>IF(ISBLANK(E3),AVERAGE(E:E),E3)</f>
        <v>28</v>
      </c>
      <c r="P3" t="s">
        <v>12</v>
      </c>
      <c r="Q3" t="str">
        <f t="shared" ref="Q3:Q49" si="0">IF(LEFT(I3,3)="91-",I3,CONCATENATE("(91-",REPLACE(SUBSTITUTE(I3," ",""),1,0,""),")"))</f>
        <v>91-9876543210</v>
      </c>
      <c r="R3" t="str">
        <f t="shared" ref="R3:R49" si="1">IF(H3="","support@dataisgood.com",H3)</f>
        <v>jane.smith@hotmail.com</v>
      </c>
      <c r="S3" t="str">
        <f t="shared" ref="S3:S49" si="2">IFERROR(PROPER(SUBSTITUTE(G3,"Sales","Sles")),G3)</f>
        <v>It Department</v>
      </c>
      <c r="T3" t="str">
        <f t="shared" ref="T3:T49" si="3">IF(ISBLANK(J3),"address not available",J3)</f>
        <v>456 Park Ave, Mumbai, Maharashtra, India</v>
      </c>
    </row>
    <row r="4" spans="3:20" x14ac:dyDescent="0.3">
      <c r="C4">
        <v>3</v>
      </c>
      <c r="D4" t="s">
        <v>39</v>
      </c>
      <c r="E4">
        <v>27</v>
      </c>
      <c r="F4" t="s">
        <v>8</v>
      </c>
      <c r="G4" t="s">
        <v>141</v>
      </c>
      <c r="H4" t="s">
        <v>40</v>
      </c>
      <c r="I4" t="s">
        <v>137</v>
      </c>
      <c r="J4" t="s">
        <v>41</v>
      </c>
      <c r="K4">
        <v>11116</v>
      </c>
      <c r="M4">
        <v>3</v>
      </c>
      <c r="N4" t="str">
        <f>PROPER(IF(D4="",(SUBSTITUTE(LEFT(H4,FIND("@",H4)-1),"."," ")),D4))</f>
        <v>Amit Patel</v>
      </c>
      <c r="O4">
        <f>IF(ISBLANK(E4),AVERAGE(E:E),E4)</f>
        <v>27</v>
      </c>
      <c r="P4" t="s">
        <v>8</v>
      </c>
      <c r="Q4" t="str">
        <f t="shared" si="0"/>
        <v>91-8765432109</v>
      </c>
      <c r="R4" t="str">
        <f t="shared" si="1"/>
        <v>amit.patel@gmail.com</v>
      </c>
      <c r="S4" t="str">
        <f t="shared" si="2"/>
        <v>It Devlopement</v>
      </c>
      <c r="T4" t="str">
        <f t="shared" si="3"/>
        <v>789 3rd St, Kolkata, West Bengal, India</v>
      </c>
    </row>
    <row r="5" spans="3:20" x14ac:dyDescent="0.3">
      <c r="C5">
        <v>4</v>
      </c>
      <c r="D5" t="s">
        <v>42</v>
      </c>
      <c r="E5">
        <v>33</v>
      </c>
      <c r="F5" t="s">
        <v>12</v>
      </c>
      <c r="G5" t="s">
        <v>142</v>
      </c>
      <c r="H5" t="s">
        <v>43</v>
      </c>
      <c r="I5" t="s">
        <v>138</v>
      </c>
      <c r="J5" t="s">
        <v>44</v>
      </c>
      <c r="K5">
        <v>33457</v>
      </c>
      <c r="M5">
        <v>4</v>
      </c>
      <c r="N5" t="str">
        <f>PROPER(IF(D5="",(SUBSTITUTE(LEFT(H5,FIND("@",H5)-1),"."," ")),D5))</f>
        <v>Priya Sharma</v>
      </c>
      <c r="O5">
        <f>IF(ISBLANK(E5),AVERAGE(E:E),E5)</f>
        <v>33</v>
      </c>
      <c r="P5" t="s">
        <v>12</v>
      </c>
      <c r="Q5" t="str">
        <f t="shared" si="0"/>
        <v>91-5555555555</v>
      </c>
      <c r="R5" t="str">
        <f t="shared" si="1"/>
        <v>priya.sharma@yahoo.com</v>
      </c>
      <c r="S5" t="str">
        <f t="shared" si="2"/>
        <v>Sales</v>
      </c>
      <c r="T5" t="str">
        <f t="shared" si="3"/>
        <v>12 4th St, New Delhi, Delhi, India</v>
      </c>
    </row>
    <row r="6" spans="3:20" x14ac:dyDescent="0.3">
      <c r="C6">
        <v>5</v>
      </c>
      <c r="E6">
        <v>29</v>
      </c>
      <c r="F6" t="s">
        <v>12</v>
      </c>
      <c r="G6" t="s">
        <v>143</v>
      </c>
      <c r="H6" t="s">
        <v>45</v>
      </c>
      <c r="K6">
        <v>21918</v>
      </c>
      <c r="M6">
        <v>5</v>
      </c>
      <c r="N6" t="str">
        <f>PROPER(IF(D6="",(SUBSTITUTE(LEFT(H6,FIND("@",H6)-1),"."," ")),D6))</f>
        <v>Jane Doe</v>
      </c>
      <c r="O6">
        <f>IF(ISBLANK(E6),AVERAGE(E:E),E6)</f>
        <v>29</v>
      </c>
      <c r="P6" t="s">
        <v>12</v>
      </c>
      <c r="Q6" t="str">
        <f t="shared" si="0"/>
        <v>(91-)</v>
      </c>
      <c r="R6" t="str">
        <f t="shared" si="1"/>
        <v>jane.doe@gmail.com</v>
      </c>
      <c r="S6" t="str">
        <f t="shared" si="2"/>
        <v>Sles</v>
      </c>
      <c r="T6" t="str">
        <f t="shared" si="3"/>
        <v>address not available</v>
      </c>
    </row>
    <row r="7" spans="3:20" x14ac:dyDescent="0.3">
      <c r="C7">
        <v>6</v>
      </c>
      <c r="D7" t="s">
        <v>46</v>
      </c>
      <c r="E7">
        <v>34</v>
      </c>
      <c r="F7" t="s">
        <v>8</v>
      </c>
      <c r="G7" t="s">
        <v>153</v>
      </c>
      <c r="H7" t="s">
        <v>47</v>
      </c>
      <c r="J7" t="s">
        <v>48</v>
      </c>
      <c r="K7">
        <v>33418</v>
      </c>
      <c r="M7">
        <v>6</v>
      </c>
      <c r="N7" t="str">
        <f>PROPER(IF(D7="",(SUBSTITUTE(LEFT(H7,FIND("@",H7)-1),"."," ")),D7))</f>
        <v>Rakesh Kumar</v>
      </c>
      <c r="O7">
        <f>IF(ISBLANK(E7),AVERAGE(E:E),E7)</f>
        <v>34</v>
      </c>
      <c r="P7" t="s">
        <v>8</v>
      </c>
      <c r="Q7" t="str">
        <f t="shared" si="0"/>
        <v>(91-)</v>
      </c>
      <c r="R7" t="str">
        <f t="shared" si="1"/>
        <v>rakesh.kumar@yahoo.com</v>
      </c>
      <c r="S7" t="str">
        <f t="shared" si="2"/>
        <v>Data Science</v>
      </c>
      <c r="T7" t="str">
        <f t="shared" si="3"/>
        <v>345 5th St, Jaipur, Rajasthan, India</v>
      </c>
    </row>
    <row r="8" spans="3:20" x14ac:dyDescent="0.3">
      <c r="C8">
        <v>7</v>
      </c>
      <c r="D8" t="s">
        <v>49</v>
      </c>
      <c r="E8">
        <v>25</v>
      </c>
      <c r="F8" t="s">
        <v>12</v>
      </c>
      <c r="G8" t="s">
        <v>141</v>
      </c>
      <c r="I8" t="s">
        <v>139</v>
      </c>
      <c r="J8" t="s">
        <v>50</v>
      </c>
      <c r="K8">
        <v>45828</v>
      </c>
      <c r="M8">
        <v>7</v>
      </c>
      <c r="N8" t="str">
        <f>PROPER(IF(D8="",(SUBSTITUTE(LEFT(H8,FIND("@",H8)-1),"."," ")),D8))</f>
        <v>Divya Singh</v>
      </c>
      <c r="O8">
        <f>IF(ISBLANK(E8),AVERAGE(E:E),E8)</f>
        <v>25</v>
      </c>
      <c r="P8" t="s">
        <v>12</v>
      </c>
      <c r="Q8" t="str">
        <f t="shared" si="0"/>
        <v>91-9999999999</v>
      </c>
      <c r="R8" t="str">
        <f t="shared" si="1"/>
        <v>support@dataisgood.com</v>
      </c>
      <c r="S8" t="str">
        <f t="shared" si="2"/>
        <v>It Devlopement</v>
      </c>
      <c r="T8" t="str">
        <f t="shared" si="3"/>
        <v>678 6th St, Chennai, Tamil Nadu, India</v>
      </c>
    </row>
    <row r="9" spans="3:20" x14ac:dyDescent="0.3">
      <c r="C9">
        <v>8</v>
      </c>
      <c r="D9" t="s">
        <v>51</v>
      </c>
      <c r="E9">
        <v>31</v>
      </c>
      <c r="F9" t="s">
        <v>8</v>
      </c>
      <c r="G9" t="s">
        <v>142</v>
      </c>
      <c r="H9" t="s">
        <v>52</v>
      </c>
      <c r="I9">
        <v>-8888888797</v>
      </c>
      <c r="K9">
        <v>45450</v>
      </c>
      <c r="M9">
        <v>8</v>
      </c>
      <c r="N9" t="str">
        <f>PROPER(IF(D9="",(SUBSTITUTE(LEFT(H9,FIND("@",H9)-1),"."," ")),D9))</f>
        <v>Aman Verma</v>
      </c>
      <c r="O9">
        <f>IF(ISBLANK(E9),AVERAGE(E:E),E9)</f>
        <v>31</v>
      </c>
      <c r="P9" t="s">
        <v>8</v>
      </c>
      <c r="Q9" t="str">
        <f t="shared" si="0"/>
        <v>(91--8888888797)</v>
      </c>
      <c r="R9" t="str">
        <f t="shared" si="1"/>
        <v>aman.verma@gmail.com</v>
      </c>
      <c r="S9" t="str">
        <f t="shared" si="2"/>
        <v>Sales</v>
      </c>
      <c r="T9" t="str">
        <f t="shared" si="3"/>
        <v>address not available</v>
      </c>
    </row>
    <row r="10" spans="3:20" x14ac:dyDescent="0.3">
      <c r="C10">
        <v>9</v>
      </c>
      <c r="D10" t="s">
        <v>53</v>
      </c>
      <c r="E10">
        <v>27</v>
      </c>
      <c r="F10" t="s">
        <v>12</v>
      </c>
      <c r="G10" t="s">
        <v>143</v>
      </c>
      <c r="H10" t="s">
        <v>54</v>
      </c>
      <c r="I10">
        <v>-7777777686</v>
      </c>
      <c r="J10" t="s">
        <v>55</v>
      </c>
      <c r="K10">
        <v>49938</v>
      </c>
      <c r="M10">
        <v>9</v>
      </c>
      <c r="N10" t="str">
        <f>PROPER(IF(D10="",(SUBSTITUTE(LEFT(H10,FIND("@",H10)-1),"."," ")),D10))</f>
        <v>Neha Gupta</v>
      </c>
      <c r="O10">
        <f>IF(ISBLANK(E10),AVERAGE(E:E),E10)</f>
        <v>27</v>
      </c>
      <c r="P10" t="s">
        <v>12</v>
      </c>
      <c r="Q10" t="str">
        <f t="shared" si="0"/>
        <v>(91--7777777686)</v>
      </c>
      <c r="R10" t="str">
        <f t="shared" si="1"/>
        <v>neha.gupta@hotmail.com</v>
      </c>
      <c r="S10" t="str">
        <f t="shared" si="2"/>
        <v>Sles</v>
      </c>
      <c r="T10" t="str">
        <f t="shared" si="3"/>
        <v>901 7th St, Hyderabad, Telangana, India</v>
      </c>
    </row>
    <row r="11" spans="3:20" x14ac:dyDescent="0.3">
      <c r="C11">
        <v>10</v>
      </c>
      <c r="E11">
        <v>35</v>
      </c>
      <c r="F11" t="s">
        <v>8</v>
      </c>
      <c r="G11" t="s">
        <v>147</v>
      </c>
      <c r="H11" t="s">
        <v>56</v>
      </c>
      <c r="J11" t="s">
        <v>57</v>
      </c>
      <c r="K11">
        <v>9818</v>
      </c>
      <c r="M11">
        <v>10</v>
      </c>
      <c r="N11" t="str">
        <f>PROPER(IF(D11="",(SUBSTITUTE(LEFT(H11,FIND("@",H11)-1),"."," ")),D11))</f>
        <v>Naveen Sharma</v>
      </c>
      <c r="O11">
        <f>IF(ISBLANK(E11),AVERAGE(E:E),E11)</f>
        <v>35</v>
      </c>
      <c r="P11" t="s">
        <v>8</v>
      </c>
      <c r="Q11" t="str">
        <f t="shared" si="0"/>
        <v>(91-)</v>
      </c>
      <c r="R11" t="str">
        <f t="shared" si="1"/>
        <v>naveen.sharma@gmail.com</v>
      </c>
      <c r="S11" t="str">
        <f t="shared" si="2"/>
        <v>Operations</v>
      </c>
      <c r="T11" t="str">
        <f t="shared" si="3"/>
        <v>234 8th St, Pune, Maharashtra, India</v>
      </c>
    </row>
    <row r="12" spans="3:20" x14ac:dyDescent="0.3">
      <c r="C12">
        <v>11</v>
      </c>
      <c r="D12" t="s">
        <v>58</v>
      </c>
      <c r="F12" t="s">
        <v>12</v>
      </c>
      <c r="G12" t="s">
        <v>148</v>
      </c>
      <c r="H12" t="s">
        <v>59</v>
      </c>
      <c r="I12">
        <v>-6666666575</v>
      </c>
      <c r="J12" t="s">
        <v>60</v>
      </c>
      <c r="K12">
        <v>41836</v>
      </c>
      <c r="M12">
        <v>11</v>
      </c>
      <c r="N12" t="str">
        <f>PROPER(IF(D12="",(SUBSTITUTE(LEFT(H12,FIND("@",H12)-1),"."," ")),D12))</f>
        <v>Vinita Kapoor</v>
      </c>
      <c r="O12">
        <f>IF(ISBLANK(E12),AVERAGE(E:E),E12)</f>
        <v>29.636363636363637</v>
      </c>
      <c r="P12" t="s">
        <v>12</v>
      </c>
      <c r="Q12" t="str">
        <f t="shared" si="0"/>
        <v>(91--6666666575)</v>
      </c>
      <c r="R12" t="str">
        <f t="shared" si="1"/>
        <v>vinita.kapoor@yahoo.com</v>
      </c>
      <c r="S12" t="str">
        <f t="shared" si="2"/>
        <v>It Department</v>
      </c>
      <c r="T12" t="str">
        <f t="shared" si="3"/>
        <v>567 9th St, Ahmedabad, Gujarat, India</v>
      </c>
    </row>
    <row r="13" spans="3:20" x14ac:dyDescent="0.3">
      <c r="C13">
        <v>12</v>
      </c>
      <c r="D13" t="s">
        <v>61</v>
      </c>
      <c r="E13">
        <v>29</v>
      </c>
      <c r="F13" t="s">
        <v>8</v>
      </c>
      <c r="G13" t="s">
        <v>148</v>
      </c>
      <c r="H13" t="s">
        <v>62</v>
      </c>
      <c r="I13">
        <v>-5555555464</v>
      </c>
      <c r="J13" t="s">
        <v>63</v>
      </c>
      <c r="K13">
        <v>11901</v>
      </c>
      <c r="M13">
        <v>12</v>
      </c>
      <c r="N13" t="str">
        <f>PROPER(IF(D13="",(SUBSTITUTE(LEFT(H13,FIND("@",H13)-1),"."," ")),D13))</f>
        <v>Rajeev Kumar</v>
      </c>
      <c r="O13">
        <f>IF(ISBLANK(E13),AVERAGE(E:E),E13)</f>
        <v>29</v>
      </c>
      <c r="P13" t="s">
        <v>8</v>
      </c>
      <c r="Q13" t="str">
        <f t="shared" si="0"/>
        <v>(91--5555555464)</v>
      </c>
      <c r="R13" t="str">
        <f t="shared" si="1"/>
        <v>rajeev.kumar@hotmail.com</v>
      </c>
      <c r="S13" t="str">
        <f t="shared" si="2"/>
        <v>It Department</v>
      </c>
      <c r="T13" t="str">
        <f t="shared" si="3"/>
        <v>789 10th St, Bangalore, Karnataka, India</v>
      </c>
    </row>
    <row r="14" spans="3:20" x14ac:dyDescent="0.3">
      <c r="C14">
        <v>14</v>
      </c>
      <c r="D14" t="s">
        <v>64</v>
      </c>
      <c r="E14">
        <v>28</v>
      </c>
      <c r="F14" t="s">
        <v>12</v>
      </c>
      <c r="G14" t="s">
        <v>149</v>
      </c>
      <c r="H14" t="s">
        <v>65</v>
      </c>
      <c r="J14" t="s">
        <v>66</v>
      </c>
      <c r="K14">
        <v>21978</v>
      </c>
      <c r="M14">
        <v>14</v>
      </c>
      <c r="N14" t="str">
        <f>PROPER(IF(D14="",(SUBSTITUTE(LEFT(H14,FIND("@",H14)-1),"."," ")),D14))</f>
        <v>Swati Singh</v>
      </c>
      <c r="O14">
        <f>IF(ISBLANK(E14),AVERAGE(E:E),E14)</f>
        <v>28</v>
      </c>
      <c r="P14" t="s">
        <v>12</v>
      </c>
      <c r="Q14" t="str">
        <f t="shared" si="0"/>
        <v>(91-)</v>
      </c>
      <c r="R14" t="str">
        <f t="shared" si="1"/>
        <v>swati.singh@gmail.com</v>
      </c>
      <c r="S14" t="str">
        <f t="shared" si="2"/>
        <v>Hr</v>
      </c>
      <c r="T14" t="str">
        <f t="shared" si="3"/>
        <v>654 12th St, Kolkata, West Bengal, India</v>
      </c>
    </row>
    <row r="15" spans="3:20" x14ac:dyDescent="0.3">
      <c r="C15">
        <v>15</v>
      </c>
      <c r="E15">
        <v>30</v>
      </c>
      <c r="F15" t="s">
        <v>12</v>
      </c>
      <c r="G15" t="s">
        <v>150</v>
      </c>
      <c r="H15" t="s">
        <v>67</v>
      </c>
      <c r="I15">
        <v>-8888888797</v>
      </c>
      <c r="K15">
        <v>49400</v>
      </c>
      <c r="M15">
        <v>15</v>
      </c>
      <c r="N15" t="str">
        <f>PROPER(IF(D15="",(SUBSTITUTE(LEFT(H15,FIND("@",H15)-1),"."," ")),D15))</f>
        <v>Kavita Sharma</v>
      </c>
      <c r="O15">
        <f>IF(ISBLANK(E15),AVERAGE(E:E),E15)</f>
        <v>30</v>
      </c>
      <c r="P15" t="s">
        <v>12</v>
      </c>
      <c r="Q15" t="str">
        <f t="shared" si="0"/>
        <v>(91--8888888797)</v>
      </c>
      <c r="R15" t="str">
        <f t="shared" si="1"/>
        <v>kavita.sharma@yahoo.com</v>
      </c>
      <c r="S15" t="str">
        <f t="shared" si="2"/>
        <v>Finance/Accounts</v>
      </c>
      <c r="T15" t="str">
        <f t="shared" si="3"/>
        <v>address not available</v>
      </c>
    </row>
    <row r="16" spans="3:20" x14ac:dyDescent="0.3">
      <c r="C16">
        <v>16</v>
      </c>
      <c r="D16" t="s">
        <v>68</v>
      </c>
      <c r="E16">
        <v>32</v>
      </c>
      <c r="F16" t="s">
        <v>8</v>
      </c>
      <c r="G16" t="s">
        <v>151</v>
      </c>
      <c r="H16" t="s">
        <v>69</v>
      </c>
      <c r="I16">
        <v>-1234567799</v>
      </c>
      <c r="J16" t="s">
        <v>70</v>
      </c>
      <c r="K16">
        <v>28476</v>
      </c>
      <c r="M16">
        <v>16</v>
      </c>
      <c r="N16" t="str">
        <f>PROPER(IF(D16="",(SUBSTITUTE(LEFT(H16,FIND("@",H16)-1),"."," ")),D16))</f>
        <v>Manish Patel</v>
      </c>
      <c r="O16">
        <f>IF(ISBLANK(E16),AVERAGE(E:E),E16)</f>
        <v>32</v>
      </c>
      <c r="P16" t="s">
        <v>8</v>
      </c>
      <c r="Q16" t="str">
        <f t="shared" si="0"/>
        <v>(91--1234567799)</v>
      </c>
      <c r="R16" t="str">
        <f t="shared" si="1"/>
        <v>manish.patel@hotmail.com</v>
      </c>
      <c r="S16" t="str">
        <f t="shared" si="2"/>
        <v>Mangement</v>
      </c>
      <c r="T16" t="str">
        <f t="shared" si="3"/>
        <v>987 13th St, New Delhi, Delhi, India</v>
      </c>
    </row>
    <row r="17" spans="3:20" x14ac:dyDescent="0.3">
      <c r="C17">
        <v>17</v>
      </c>
      <c r="D17" t="s">
        <v>71</v>
      </c>
      <c r="E17">
        <v>26</v>
      </c>
      <c r="F17" t="s">
        <v>12</v>
      </c>
      <c r="G17" t="s">
        <v>152</v>
      </c>
      <c r="H17" t="s">
        <v>72</v>
      </c>
      <c r="I17">
        <v>-8765432018</v>
      </c>
      <c r="K17">
        <v>40088</v>
      </c>
      <c r="M17">
        <v>17</v>
      </c>
      <c r="N17" t="str">
        <f>PROPER(IF(D17="",(SUBSTITUTE(LEFT(H17,FIND("@",H17)-1),"."," ")),D17))</f>
        <v>Priyanka Jain</v>
      </c>
      <c r="O17">
        <f>IF(ISBLANK(E17),AVERAGE(E:E),E17)</f>
        <v>26</v>
      </c>
      <c r="P17" t="s">
        <v>12</v>
      </c>
      <c r="Q17" t="str">
        <f t="shared" si="0"/>
        <v>(91--8765432018)</v>
      </c>
      <c r="R17" t="str">
        <f t="shared" si="1"/>
        <v>priyanka.jain@yahoo.com</v>
      </c>
      <c r="S17" t="str">
        <f t="shared" si="2"/>
        <v>Data Science</v>
      </c>
      <c r="T17" t="str">
        <f t="shared" si="3"/>
        <v>address not available</v>
      </c>
    </row>
    <row r="18" spans="3:20" x14ac:dyDescent="0.3">
      <c r="C18">
        <v>18</v>
      </c>
      <c r="D18" t="s">
        <v>7</v>
      </c>
      <c r="E18">
        <v>28</v>
      </c>
      <c r="F18" t="s">
        <v>8</v>
      </c>
      <c r="G18" t="s">
        <v>153</v>
      </c>
      <c r="H18" t="s">
        <v>9</v>
      </c>
      <c r="I18">
        <v>-9876543119</v>
      </c>
      <c r="J18" t="s">
        <v>10</v>
      </c>
      <c r="K18">
        <v>2949</v>
      </c>
      <c r="M18">
        <v>18</v>
      </c>
      <c r="N18" t="str">
        <f>PROPER(IF(D18="",(SUBSTITUTE(LEFT(H18,FIND("@",H18)-1),"."," ")),D18))</f>
        <v>Rohit Sharma</v>
      </c>
      <c r="O18">
        <f>IF(ISBLANK(E18),AVERAGE(E:E),E18)</f>
        <v>28</v>
      </c>
      <c r="P18" t="s">
        <v>8</v>
      </c>
      <c r="Q18" t="str">
        <f t="shared" si="0"/>
        <v>(91--9876543119)</v>
      </c>
      <c r="R18" t="str">
        <f t="shared" si="1"/>
        <v>rohit.sharma@gmail.com</v>
      </c>
      <c r="S18" t="str">
        <f t="shared" si="2"/>
        <v>Data Science</v>
      </c>
      <c r="T18" t="str">
        <f t="shared" si="3"/>
        <v>654 14th St, Jaipur, Rajasthan, India</v>
      </c>
    </row>
    <row r="19" spans="3:20" x14ac:dyDescent="0.3">
      <c r="C19">
        <v>19</v>
      </c>
      <c r="D19" t="s">
        <v>11</v>
      </c>
      <c r="E19">
        <v>30</v>
      </c>
      <c r="F19" t="s">
        <v>12</v>
      </c>
      <c r="G19" t="s">
        <v>153</v>
      </c>
      <c r="H19" t="s">
        <v>13</v>
      </c>
      <c r="I19">
        <v>-5555555464</v>
      </c>
      <c r="J19" t="s">
        <v>14</v>
      </c>
      <c r="K19">
        <v>3337</v>
      </c>
      <c r="M19">
        <v>19</v>
      </c>
      <c r="N19" t="str">
        <f>PROPER(IF(D19="",(SUBSTITUTE(LEFT(H19,FIND("@",H19)-1),"."," ")),D19))</f>
        <v>Deepika Singh</v>
      </c>
      <c r="O19">
        <f>IF(ISBLANK(E19),AVERAGE(E:E),E19)</f>
        <v>30</v>
      </c>
      <c r="P19" t="s">
        <v>12</v>
      </c>
      <c r="Q19" t="str">
        <f t="shared" si="0"/>
        <v>(91--5555555464)</v>
      </c>
      <c r="R19" t="str">
        <f t="shared" si="1"/>
        <v>deepika.singh@yahoo.com</v>
      </c>
      <c r="S19" t="str">
        <f t="shared" si="2"/>
        <v>Data Science</v>
      </c>
      <c r="T19" t="str">
        <f t="shared" si="3"/>
        <v>321 15th St, Chennai, Tamil Nadu, India</v>
      </c>
    </row>
    <row r="20" spans="3:20" x14ac:dyDescent="0.3">
      <c r="C20">
        <v>20</v>
      </c>
      <c r="E20">
        <v>32</v>
      </c>
      <c r="F20" t="s">
        <v>8</v>
      </c>
      <c r="G20" t="s">
        <v>150</v>
      </c>
      <c r="H20" t="s">
        <v>15</v>
      </c>
      <c r="I20">
        <v>-9999999908</v>
      </c>
      <c r="K20">
        <v>2857</v>
      </c>
      <c r="M20">
        <v>20</v>
      </c>
      <c r="N20" t="str">
        <f>PROPER(IF(D20="",(SUBSTITUTE(LEFT(H20,FIND("@",H20)-1),"."," ")),D20))</f>
        <v>Vikas Joshi</v>
      </c>
      <c r="O20">
        <f>IF(ISBLANK(E20),AVERAGE(E:E),E20)</f>
        <v>32</v>
      </c>
      <c r="P20" t="s">
        <v>8</v>
      </c>
      <c r="Q20" t="str">
        <f t="shared" si="0"/>
        <v>(91--9999999908)</v>
      </c>
      <c r="R20" t="str">
        <f t="shared" si="1"/>
        <v>vikas.joshi@gmail.com</v>
      </c>
      <c r="S20" t="str">
        <f t="shared" si="2"/>
        <v>Finance/Accounts</v>
      </c>
      <c r="T20" t="str">
        <f t="shared" si="3"/>
        <v>address not available</v>
      </c>
    </row>
    <row r="21" spans="3:20" x14ac:dyDescent="0.3">
      <c r="C21">
        <v>21</v>
      </c>
      <c r="D21" t="s">
        <v>16</v>
      </c>
      <c r="E21">
        <v>26</v>
      </c>
      <c r="F21" t="s">
        <v>12</v>
      </c>
      <c r="G21" t="s">
        <v>151</v>
      </c>
      <c r="H21" t="s">
        <v>17</v>
      </c>
      <c r="J21" t="s">
        <v>18</v>
      </c>
      <c r="K21">
        <v>35969</v>
      </c>
      <c r="M21">
        <v>21</v>
      </c>
      <c r="N21" t="str">
        <f>PROPER(IF(D21="",(SUBSTITUTE(LEFT(H21,FIND("@",H21)-1),"."," ")),D21))</f>
        <v>Nisha Verma</v>
      </c>
      <c r="O21">
        <f>IF(ISBLANK(E21),AVERAGE(E:E),E21)</f>
        <v>26</v>
      </c>
      <c r="P21" t="s">
        <v>12</v>
      </c>
      <c r="Q21" t="str">
        <f t="shared" si="0"/>
        <v>(91-)</v>
      </c>
      <c r="R21" t="str">
        <f t="shared" si="1"/>
        <v>nisha.verma@hotmail.com</v>
      </c>
      <c r="S21" t="str">
        <f t="shared" si="2"/>
        <v>Mangement</v>
      </c>
      <c r="T21" t="str">
        <f t="shared" si="3"/>
        <v>789 16th St, Hyderabad, Telangana, India</v>
      </c>
    </row>
    <row r="22" spans="3:20" x14ac:dyDescent="0.3">
      <c r="C22">
        <v>22</v>
      </c>
      <c r="D22" t="s">
        <v>19</v>
      </c>
      <c r="E22">
        <v>33</v>
      </c>
      <c r="F22" t="s">
        <v>8</v>
      </c>
      <c r="G22" t="s">
        <v>152</v>
      </c>
      <c r="H22" t="s">
        <v>20</v>
      </c>
      <c r="I22">
        <v>-8888888797</v>
      </c>
      <c r="J22" t="s">
        <v>21</v>
      </c>
      <c r="K22">
        <v>49681</v>
      </c>
      <c r="M22">
        <v>22</v>
      </c>
      <c r="N22" t="str">
        <f>PROPER(IF(D22="",(SUBSTITUTE(LEFT(H22,FIND("@",H22)-1),"."," ")),D22))</f>
        <v>Manoj Kumar</v>
      </c>
      <c r="O22">
        <f>IF(ISBLANK(E22),AVERAGE(E:E),E22)</f>
        <v>33</v>
      </c>
      <c r="P22" t="s">
        <v>8</v>
      </c>
      <c r="Q22" t="str">
        <f t="shared" si="0"/>
        <v>(91--8888888797)</v>
      </c>
      <c r="R22" t="str">
        <f t="shared" si="1"/>
        <v>manoj.kumar@yahoo.com</v>
      </c>
      <c r="S22" t="str">
        <f t="shared" si="2"/>
        <v>Data Science</v>
      </c>
      <c r="T22" t="str">
        <f t="shared" si="3"/>
        <v>901 17th St, Pune, Maharashtra, India</v>
      </c>
    </row>
    <row r="23" spans="3:20" x14ac:dyDescent="0.3">
      <c r="C23">
        <v>24</v>
      </c>
      <c r="D23" t="s">
        <v>22</v>
      </c>
      <c r="E23">
        <v>29</v>
      </c>
      <c r="F23" t="s">
        <v>8</v>
      </c>
      <c r="G23" t="s">
        <v>147</v>
      </c>
      <c r="H23" t="s">
        <v>23</v>
      </c>
      <c r="I23" t="s">
        <v>154</v>
      </c>
      <c r="K23">
        <v>15853</v>
      </c>
      <c r="M23">
        <v>24</v>
      </c>
      <c r="N23" t="str">
        <f>PROPER(IF(D23="",(SUBSTITUTE(LEFT(H23,FIND("@",H23)-1),"."," ")),D23))</f>
        <v>Sanjay Gupta</v>
      </c>
      <c r="O23">
        <f>IF(ISBLANK(E23),AVERAGE(E:E),E23)</f>
        <v>29</v>
      </c>
      <c r="P23" t="s">
        <v>8</v>
      </c>
      <c r="Q23" t="str">
        <f t="shared" si="0"/>
        <v>91-6666666666</v>
      </c>
      <c r="R23" t="str">
        <f t="shared" si="1"/>
        <v>sanjay.gupta@gmail.com</v>
      </c>
      <c r="S23" t="str">
        <f t="shared" si="2"/>
        <v>Operations</v>
      </c>
      <c r="T23" t="str">
        <f t="shared" si="3"/>
        <v>address not available</v>
      </c>
    </row>
    <row r="24" spans="3:20" x14ac:dyDescent="0.3">
      <c r="C24">
        <v>25</v>
      </c>
      <c r="D24" t="s">
        <v>24</v>
      </c>
      <c r="F24" t="s">
        <v>12</v>
      </c>
      <c r="G24" t="s">
        <v>148</v>
      </c>
      <c r="H24" t="s">
        <v>25</v>
      </c>
      <c r="I24">
        <v>-5555555464</v>
      </c>
      <c r="J24" t="s">
        <v>26</v>
      </c>
      <c r="K24">
        <v>6926</v>
      </c>
      <c r="M24">
        <v>25</v>
      </c>
      <c r="N24" t="str">
        <f>PROPER(IF(D24="",(SUBSTITUTE(LEFT(H24,FIND("@",H24)-1),"."," ")),D24))</f>
        <v>Anjali Sharma</v>
      </c>
      <c r="O24">
        <f>IF(ISBLANK(E24),AVERAGE(E:E),E24)</f>
        <v>29.636363636363637</v>
      </c>
      <c r="P24" t="s">
        <v>12</v>
      </c>
      <c r="Q24" t="str">
        <f t="shared" si="0"/>
        <v>(91--5555555464)</v>
      </c>
      <c r="R24" t="str">
        <f t="shared" si="1"/>
        <v>anjali.sharma@yahoo.com</v>
      </c>
      <c r="S24" t="str">
        <f t="shared" si="2"/>
        <v>It Department</v>
      </c>
      <c r="T24" t="str">
        <f t="shared" si="3"/>
        <v>567 19th St, Bangalore, Karnataka, India</v>
      </c>
    </row>
    <row r="25" spans="3:20" x14ac:dyDescent="0.3">
      <c r="C25">
        <v>26</v>
      </c>
      <c r="D25" t="s">
        <v>27</v>
      </c>
      <c r="E25">
        <v>31</v>
      </c>
      <c r="F25" t="s">
        <v>8</v>
      </c>
      <c r="G25" t="s">
        <v>150</v>
      </c>
      <c r="H25" t="s">
        <v>28</v>
      </c>
      <c r="J25" t="s">
        <v>29</v>
      </c>
      <c r="K25">
        <v>45678</v>
      </c>
      <c r="M25">
        <v>26</v>
      </c>
      <c r="N25" t="str">
        <f>PROPER(IF(D25="",(SUBSTITUTE(LEFT(H25,FIND("@",H25)-1),"."," ")),D25))</f>
        <v>Akash Patel</v>
      </c>
      <c r="O25">
        <f>IF(ISBLANK(E25),AVERAGE(E:E),E25)</f>
        <v>31</v>
      </c>
      <c r="P25" t="s">
        <v>8</v>
      </c>
      <c r="Q25" t="str">
        <f t="shared" si="0"/>
        <v>(91-)</v>
      </c>
      <c r="R25" t="str">
        <f t="shared" si="1"/>
        <v>akash.patel@hotmail.com</v>
      </c>
      <c r="S25" t="str">
        <f t="shared" si="2"/>
        <v>Finance/Accounts</v>
      </c>
      <c r="T25" t="str">
        <f t="shared" si="3"/>
        <v>789 20th St, Mumbai, Maharashtra, India</v>
      </c>
    </row>
    <row r="26" spans="3:20" x14ac:dyDescent="0.3">
      <c r="C26">
        <v>27</v>
      </c>
      <c r="D26" t="s">
        <v>30</v>
      </c>
      <c r="E26">
        <v>28</v>
      </c>
      <c r="F26" t="s">
        <v>12</v>
      </c>
      <c r="G26" t="s">
        <v>151</v>
      </c>
      <c r="H26" t="s">
        <v>31</v>
      </c>
      <c r="I26">
        <v>-7777777686</v>
      </c>
      <c r="J26" t="s">
        <v>32</v>
      </c>
      <c r="K26">
        <v>8022</v>
      </c>
      <c r="M26">
        <v>27</v>
      </c>
      <c r="N26" t="str">
        <f>PROPER(IF(D26="",(SUBSTITUTE(LEFT(H26,FIND("@",H26)-1),"."," ")),D26))</f>
        <v>Preeti Singh</v>
      </c>
      <c r="O26">
        <f>IF(ISBLANK(E26),AVERAGE(E:E),E26)</f>
        <v>28</v>
      </c>
      <c r="P26" t="s">
        <v>12</v>
      </c>
      <c r="Q26" t="str">
        <f t="shared" si="0"/>
        <v>(91--7777777686)</v>
      </c>
      <c r="R26" t="str">
        <f t="shared" si="1"/>
        <v>preeti.singh@gmail.com</v>
      </c>
      <c r="S26" t="str">
        <f t="shared" si="2"/>
        <v>Mangement</v>
      </c>
      <c r="T26" t="str">
        <f t="shared" si="3"/>
        <v>321 21st St, Kolkata, West Bengal, India</v>
      </c>
    </row>
    <row r="27" spans="3:20" x14ac:dyDescent="0.3">
      <c r="C27">
        <v>28</v>
      </c>
      <c r="D27" t="s">
        <v>73</v>
      </c>
      <c r="E27">
        <v>34</v>
      </c>
      <c r="F27" t="s">
        <v>8</v>
      </c>
      <c r="G27" t="s">
        <v>152</v>
      </c>
      <c r="H27" t="s">
        <v>74</v>
      </c>
      <c r="I27">
        <v>-8888888797</v>
      </c>
      <c r="J27" t="s">
        <v>75</v>
      </c>
      <c r="K27">
        <v>3484</v>
      </c>
      <c r="M27">
        <v>28</v>
      </c>
      <c r="N27" t="str">
        <f>PROPER(IF(D27="",(SUBSTITUTE(LEFT(H27,FIND("@",H27)-1),"."," ")),D27))</f>
        <v>Ravi Kumar</v>
      </c>
      <c r="O27">
        <f>IF(ISBLANK(E27),AVERAGE(E:E),E27)</f>
        <v>34</v>
      </c>
      <c r="P27" t="s">
        <v>8</v>
      </c>
      <c r="Q27" t="str">
        <f t="shared" si="0"/>
        <v>(91--8888888797)</v>
      </c>
      <c r="R27" t="str">
        <f t="shared" si="1"/>
        <v>ravi.kumar@gmail.com</v>
      </c>
      <c r="S27" t="str">
        <f t="shared" si="2"/>
        <v>Data Science</v>
      </c>
      <c r="T27" t="str">
        <f t="shared" si="3"/>
        <v>901 22nd St, Patna, Bihar, India</v>
      </c>
    </row>
    <row r="28" spans="3:20" x14ac:dyDescent="0.3">
      <c r="C28">
        <v>29</v>
      </c>
      <c r="D28" t="s">
        <v>76</v>
      </c>
      <c r="E28">
        <v>26</v>
      </c>
      <c r="F28" t="s">
        <v>12</v>
      </c>
      <c r="G28" t="s">
        <v>141</v>
      </c>
      <c r="H28" t="s">
        <v>77</v>
      </c>
      <c r="I28">
        <v>-7777777686</v>
      </c>
      <c r="J28" t="s">
        <v>78</v>
      </c>
      <c r="K28">
        <v>11342</v>
      </c>
      <c r="M28">
        <v>29</v>
      </c>
      <c r="N28" t="str">
        <f>PROPER(IF(D28="",(SUBSTITUTE(LEFT(H28,FIND("@",H28)-1),"."," ")),D28))</f>
        <v>Swati Mishra</v>
      </c>
      <c r="O28">
        <f>IF(ISBLANK(E28),AVERAGE(E:E),E28)</f>
        <v>26</v>
      </c>
      <c r="P28" t="s">
        <v>12</v>
      </c>
      <c r="Q28" t="str">
        <f t="shared" si="0"/>
        <v>(91--7777777686)</v>
      </c>
      <c r="R28" t="str">
        <f t="shared" si="1"/>
        <v>swati.mishra@yahoo.com</v>
      </c>
      <c r="S28" t="str">
        <f t="shared" si="2"/>
        <v>It Devlopement</v>
      </c>
      <c r="T28" t="str">
        <f t="shared" si="3"/>
        <v>234 23rd St, Bhopal, Madhya Pradesh, India</v>
      </c>
    </row>
    <row r="29" spans="3:20" x14ac:dyDescent="0.3">
      <c r="C29">
        <v>30</v>
      </c>
      <c r="E29">
        <v>29</v>
      </c>
      <c r="F29" t="s">
        <v>8</v>
      </c>
      <c r="G29" t="s">
        <v>142</v>
      </c>
      <c r="H29" t="s">
        <v>79</v>
      </c>
      <c r="J29" t="s">
        <v>80</v>
      </c>
      <c r="K29">
        <v>40940</v>
      </c>
      <c r="M29">
        <v>30</v>
      </c>
      <c r="N29" t="str">
        <f>PROPER(IF(D29="",(SUBSTITUTE(LEFT(H29,FIND("@",H29)-1),"."," ")),D29))</f>
        <v>Ankit Singh</v>
      </c>
      <c r="O29">
        <f>IF(ISBLANK(E29),AVERAGE(E:E),E29)</f>
        <v>29</v>
      </c>
      <c r="P29" t="s">
        <v>8</v>
      </c>
      <c r="Q29" t="str">
        <f t="shared" si="0"/>
        <v>(91-)</v>
      </c>
      <c r="R29" t="str">
        <f t="shared" si="1"/>
        <v>ankit.singh@hotmail.com</v>
      </c>
      <c r="S29" t="str">
        <f t="shared" si="2"/>
        <v>Sales</v>
      </c>
      <c r="T29" t="str">
        <f t="shared" si="3"/>
        <v>567 24th St, Lucknow, Uttar Pradesh, India</v>
      </c>
    </row>
    <row r="30" spans="3:20" x14ac:dyDescent="0.3">
      <c r="C30">
        <v>31</v>
      </c>
      <c r="D30" t="s">
        <v>53</v>
      </c>
      <c r="E30">
        <v>27</v>
      </c>
      <c r="F30" t="s">
        <v>12</v>
      </c>
      <c r="G30" t="s">
        <v>143</v>
      </c>
      <c r="H30" t="s">
        <v>81</v>
      </c>
      <c r="I30">
        <v>-5555555464</v>
      </c>
      <c r="K30">
        <v>41841</v>
      </c>
      <c r="M30">
        <v>31</v>
      </c>
      <c r="N30" t="str">
        <f>PROPER(IF(D30="",(SUBSTITUTE(LEFT(H30,FIND("@",H30)-1),"."," ")),D30))</f>
        <v>Neha Gupta</v>
      </c>
      <c r="O30">
        <f>IF(ISBLANK(E30),AVERAGE(E:E),E30)</f>
        <v>27</v>
      </c>
      <c r="P30" t="s">
        <v>12</v>
      </c>
      <c r="Q30" t="str">
        <f t="shared" si="0"/>
        <v>(91--5555555464)</v>
      </c>
      <c r="R30" t="str">
        <f t="shared" si="1"/>
        <v>neha.gupta@gmail.com</v>
      </c>
      <c r="S30" t="str">
        <f t="shared" si="2"/>
        <v>Sles</v>
      </c>
      <c r="T30" t="str">
        <f t="shared" si="3"/>
        <v>address not available</v>
      </c>
    </row>
    <row r="31" spans="3:20" x14ac:dyDescent="0.3">
      <c r="C31">
        <v>32</v>
      </c>
      <c r="D31" t="s">
        <v>82</v>
      </c>
      <c r="E31">
        <v>32</v>
      </c>
      <c r="F31" t="s">
        <v>8</v>
      </c>
      <c r="G31" t="s">
        <v>150</v>
      </c>
      <c r="H31" t="s">
        <v>83</v>
      </c>
      <c r="J31" t="s">
        <v>84</v>
      </c>
      <c r="K31">
        <v>39835</v>
      </c>
      <c r="M31">
        <v>32</v>
      </c>
      <c r="N31" t="str">
        <f>PROPER(IF(D31="",(SUBSTITUTE(LEFT(H31,FIND("@",H31)-1),"."," ")),D31))</f>
        <v>Rajeev Sharma</v>
      </c>
      <c r="O31">
        <f>IF(ISBLANK(E31),AVERAGE(E:E),E31)</f>
        <v>32</v>
      </c>
      <c r="P31" t="s">
        <v>8</v>
      </c>
      <c r="Q31" t="str">
        <f t="shared" si="0"/>
        <v>(91-)</v>
      </c>
      <c r="R31" t="str">
        <f t="shared" si="1"/>
        <v>rajeev.sharma@yahoo.com</v>
      </c>
      <c r="S31" t="str">
        <f t="shared" si="2"/>
        <v>Finance/Accounts</v>
      </c>
      <c r="T31" t="str">
        <f t="shared" si="3"/>
        <v>789 25th St, Jaipur, Rajasthan, India</v>
      </c>
    </row>
    <row r="32" spans="3:20" x14ac:dyDescent="0.3">
      <c r="C32">
        <v>33</v>
      </c>
      <c r="E32">
        <v>33</v>
      </c>
      <c r="F32" t="s">
        <v>12</v>
      </c>
      <c r="G32" t="s">
        <v>151</v>
      </c>
      <c r="H32" t="s">
        <v>85</v>
      </c>
      <c r="I32">
        <v>-6666666575</v>
      </c>
      <c r="J32" t="s">
        <v>86</v>
      </c>
      <c r="K32">
        <v>9577</v>
      </c>
      <c r="M32">
        <v>33</v>
      </c>
      <c r="N32" t="str">
        <f>PROPER(IF(D32="",(SUBSTITUTE(LEFT(H32,FIND("@",H32)-1),"."," ")),D32))</f>
        <v>Sarika Patel</v>
      </c>
      <c r="O32">
        <f>IF(ISBLANK(E32),AVERAGE(E:E),E32)</f>
        <v>33</v>
      </c>
      <c r="P32" t="s">
        <v>12</v>
      </c>
      <c r="Q32" t="str">
        <f t="shared" si="0"/>
        <v>(91--6666666575)</v>
      </c>
      <c r="R32" t="str">
        <f t="shared" si="1"/>
        <v>sarika.patel@hotmail.com</v>
      </c>
      <c r="S32" t="str">
        <f t="shared" si="2"/>
        <v>Mangement</v>
      </c>
      <c r="T32" t="str">
        <f t="shared" si="3"/>
        <v>654 26th St, Chennai, Tamil Nadu, India</v>
      </c>
    </row>
    <row r="33" spans="3:20" x14ac:dyDescent="0.3">
      <c r="C33">
        <v>34</v>
      </c>
      <c r="D33" t="s">
        <v>87</v>
      </c>
      <c r="E33">
        <v>30</v>
      </c>
      <c r="F33" t="s">
        <v>8</v>
      </c>
      <c r="G33" t="s">
        <v>152</v>
      </c>
      <c r="H33" t="s">
        <v>88</v>
      </c>
      <c r="J33" t="s">
        <v>89</v>
      </c>
      <c r="K33">
        <v>29480</v>
      </c>
      <c r="M33">
        <v>34</v>
      </c>
      <c r="N33" t="str">
        <f>PROPER(IF(D33="",(SUBSTITUTE(LEFT(H33,FIND("@",H33)-1),"."," ")),D33))</f>
        <v>Vinay Singh</v>
      </c>
      <c r="O33">
        <f>IF(ISBLANK(E33),AVERAGE(E:E),E33)</f>
        <v>30</v>
      </c>
      <c r="P33" t="s">
        <v>8</v>
      </c>
      <c r="Q33" t="str">
        <f t="shared" si="0"/>
        <v>(91-)</v>
      </c>
      <c r="R33" t="str">
        <f t="shared" si="1"/>
        <v>vinay.singh@gmail.com</v>
      </c>
      <c r="S33" t="str">
        <f t="shared" si="2"/>
        <v>Data Science</v>
      </c>
      <c r="T33" t="str">
        <f t="shared" si="3"/>
        <v>321 27th St, Hyderabad, Telangana, India</v>
      </c>
    </row>
    <row r="34" spans="3:20" x14ac:dyDescent="0.3">
      <c r="C34">
        <v>35</v>
      </c>
      <c r="D34" t="s">
        <v>90</v>
      </c>
      <c r="F34" t="s">
        <v>12</v>
      </c>
      <c r="G34" t="s">
        <v>141</v>
      </c>
      <c r="H34" t="s">
        <v>91</v>
      </c>
      <c r="I34">
        <v>-5555555464</v>
      </c>
      <c r="J34" t="s">
        <v>92</v>
      </c>
      <c r="K34">
        <v>14254</v>
      </c>
      <c r="M34">
        <v>35</v>
      </c>
      <c r="N34" t="str">
        <f>PROPER(IF(D34="",(SUBSTITUTE(LEFT(H34,FIND("@",H34)-1),"."," ")),D34))</f>
        <v>Priya Gupta</v>
      </c>
      <c r="O34">
        <f>IF(ISBLANK(E34),AVERAGE(E:E),E34)</f>
        <v>29.636363636363637</v>
      </c>
      <c r="P34" t="s">
        <v>12</v>
      </c>
      <c r="Q34" t="str">
        <f t="shared" si="0"/>
        <v>(91--5555555464)</v>
      </c>
      <c r="R34" t="str">
        <f t="shared" si="1"/>
        <v>priya.gupta@yahoo.com</v>
      </c>
      <c r="S34" t="str">
        <f t="shared" si="2"/>
        <v>It Devlopement</v>
      </c>
      <c r="T34" t="str">
        <f t="shared" si="3"/>
        <v>901 28th St, Pune, Maharashtra, India</v>
      </c>
    </row>
    <row r="35" spans="3:20" x14ac:dyDescent="0.3">
      <c r="C35">
        <v>36</v>
      </c>
      <c r="D35" t="s">
        <v>93</v>
      </c>
      <c r="E35">
        <v>29</v>
      </c>
      <c r="F35" t="s">
        <v>8</v>
      </c>
      <c r="G35" t="s">
        <v>142</v>
      </c>
      <c r="H35" t="s">
        <v>94</v>
      </c>
      <c r="I35">
        <v>-7777777686</v>
      </c>
      <c r="J35" t="s">
        <v>95</v>
      </c>
      <c r="K35">
        <v>37358</v>
      </c>
      <c r="M35">
        <v>36</v>
      </c>
      <c r="N35" t="str">
        <f>PROPER(IF(D35="",(SUBSTITUTE(LEFT(H35,FIND("@",H35)-1),"."," ")),D35))</f>
        <v>Sushant Patel</v>
      </c>
      <c r="O35">
        <f>IF(ISBLANK(E35),AVERAGE(E:E),E35)</f>
        <v>29</v>
      </c>
      <c r="P35" t="s">
        <v>8</v>
      </c>
      <c r="Q35" t="str">
        <f t="shared" si="0"/>
        <v>(91--7777777686)</v>
      </c>
      <c r="R35" t="str">
        <f t="shared" si="1"/>
        <v>sushant.patel@hotmail.com</v>
      </c>
      <c r="S35" t="str">
        <f t="shared" si="2"/>
        <v>Sales</v>
      </c>
      <c r="T35" t="str">
        <f t="shared" si="3"/>
        <v>567 29th St, Ahmedabad, Gujarat, India</v>
      </c>
    </row>
    <row r="36" spans="3:20" x14ac:dyDescent="0.3">
      <c r="C36">
        <v>37</v>
      </c>
      <c r="E36">
        <v>31</v>
      </c>
      <c r="F36" t="s">
        <v>12</v>
      </c>
      <c r="G36" t="s">
        <v>143</v>
      </c>
      <c r="H36" t="s">
        <v>96</v>
      </c>
      <c r="J36" t="s">
        <v>97</v>
      </c>
      <c r="K36">
        <v>48367</v>
      </c>
      <c r="M36">
        <v>37</v>
      </c>
      <c r="N36" t="str">
        <f>PROPER(IF(D36="",(SUBSTITUTE(LEFT(H36,FIND("@",H36)-1),"."," ")),D36))</f>
        <v>Payal Sharma</v>
      </c>
      <c r="O36">
        <f>IF(ISBLANK(E36),AVERAGE(E:E),E36)</f>
        <v>31</v>
      </c>
      <c r="P36" t="s">
        <v>12</v>
      </c>
      <c r="Q36" t="str">
        <f t="shared" si="0"/>
        <v>(91-)</v>
      </c>
      <c r="R36" t="str">
        <f t="shared" si="1"/>
        <v>payal.sharma@gmail.com</v>
      </c>
      <c r="S36" t="str">
        <f t="shared" si="2"/>
        <v>Sles</v>
      </c>
      <c r="T36" t="str">
        <f t="shared" si="3"/>
        <v>234 30th St, Bangalore, Karnataka, India</v>
      </c>
    </row>
    <row r="37" spans="3:20" x14ac:dyDescent="0.3">
      <c r="C37">
        <v>38</v>
      </c>
      <c r="D37" t="s">
        <v>98</v>
      </c>
      <c r="E37">
        <v>28</v>
      </c>
      <c r="F37" t="s">
        <v>8</v>
      </c>
      <c r="G37" t="s">
        <v>144</v>
      </c>
      <c r="H37" t="s">
        <v>99</v>
      </c>
      <c r="I37">
        <v>-8888888797</v>
      </c>
      <c r="J37" t="s">
        <v>100</v>
      </c>
      <c r="K37">
        <v>37473</v>
      </c>
      <c r="M37">
        <v>38</v>
      </c>
      <c r="N37" t="str">
        <f>PROPER(IF(D37="",(SUBSTITUTE(LEFT(H37,FIND("@",H37)-1),"."," ")),D37))</f>
        <v>Mohit Verma</v>
      </c>
      <c r="O37">
        <f>IF(ISBLANK(E37),AVERAGE(E:E),E37)</f>
        <v>28</v>
      </c>
      <c r="P37" t="s">
        <v>8</v>
      </c>
      <c r="Q37" t="str">
        <f t="shared" si="0"/>
        <v>(91--8888888797)</v>
      </c>
      <c r="R37" t="str">
        <f t="shared" si="1"/>
        <v>mohit.verma@yahoo.com</v>
      </c>
      <c r="S37" t="str">
        <f t="shared" si="2"/>
        <v>Hr</v>
      </c>
      <c r="T37" t="str">
        <f t="shared" si="3"/>
        <v>789 31st St, Mumbai, Maharashtra, India</v>
      </c>
    </row>
    <row r="38" spans="3:20" x14ac:dyDescent="0.3">
      <c r="C38">
        <v>39</v>
      </c>
      <c r="D38" t="s">
        <v>101</v>
      </c>
      <c r="E38">
        <v>33</v>
      </c>
      <c r="F38" t="s">
        <v>12</v>
      </c>
      <c r="G38" t="s">
        <v>145</v>
      </c>
      <c r="H38" t="s">
        <v>102</v>
      </c>
      <c r="I38">
        <v>-9999999908</v>
      </c>
      <c r="J38" t="s">
        <v>103</v>
      </c>
      <c r="K38">
        <v>30628</v>
      </c>
      <c r="M38">
        <v>39</v>
      </c>
      <c r="N38" t="str">
        <f>PROPER(IF(D38="",(SUBSTITUTE(LEFT(H38,FIND("@",H38)-1),"."," ")),D38))</f>
        <v>Kavita Singh</v>
      </c>
      <c r="O38">
        <f>IF(ISBLANK(E38),AVERAGE(E:E),E38)</f>
        <v>33</v>
      </c>
      <c r="P38" t="s">
        <v>12</v>
      </c>
      <c r="Q38" t="str">
        <f t="shared" si="0"/>
        <v>(91--9999999908)</v>
      </c>
      <c r="R38" t="str">
        <f t="shared" si="1"/>
        <v>kavita.singh@hotmail.com</v>
      </c>
      <c r="S38" t="str">
        <f t="shared" si="2"/>
        <v>Hr</v>
      </c>
      <c r="T38" t="str">
        <f t="shared" si="3"/>
        <v>901 32nd St, Kolkata, West Bengal, India</v>
      </c>
    </row>
    <row r="39" spans="3:20" x14ac:dyDescent="0.3">
      <c r="C39">
        <v>40</v>
      </c>
      <c r="D39" t="s">
        <v>104</v>
      </c>
      <c r="E39">
        <v>30</v>
      </c>
      <c r="F39" t="s">
        <v>8</v>
      </c>
      <c r="G39" t="s">
        <v>146</v>
      </c>
      <c r="H39" t="s">
        <v>105</v>
      </c>
      <c r="J39" t="s">
        <v>106</v>
      </c>
      <c r="K39">
        <v>22018</v>
      </c>
      <c r="M39">
        <v>40</v>
      </c>
      <c r="N39" t="str">
        <f>PROPER(IF(D39="",(SUBSTITUTE(LEFT(H39,FIND("@",H39)-1),"."," ")),D39))</f>
        <v>Ankit Patel</v>
      </c>
      <c r="O39">
        <f>IF(ISBLANK(E39),AVERAGE(E:E),E39)</f>
        <v>30</v>
      </c>
      <c r="P39" t="s">
        <v>8</v>
      </c>
      <c r="Q39" t="str">
        <f t="shared" si="0"/>
        <v>(91-)</v>
      </c>
      <c r="R39" t="str">
        <f t="shared" si="1"/>
        <v>ankit.patel@gmail.com</v>
      </c>
      <c r="S39" t="str">
        <f t="shared" si="2"/>
        <v>Operaryion</v>
      </c>
      <c r="T39" t="str">
        <f t="shared" si="3"/>
        <v>321 33rd St, Patna, Bihar, India</v>
      </c>
    </row>
    <row r="40" spans="3:20" x14ac:dyDescent="0.3">
      <c r="C40">
        <v>41</v>
      </c>
      <c r="D40" t="s">
        <v>107</v>
      </c>
      <c r="E40">
        <v>27</v>
      </c>
      <c r="F40" t="s">
        <v>12</v>
      </c>
      <c r="G40" t="s">
        <v>153</v>
      </c>
      <c r="H40" t="s">
        <v>108</v>
      </c>
      <c r="I40">
        <v>-7777777686</v>
      </c>
      <c r="J40" t="s">
        <v>109</v>
      </c>
      <c r="K40">
        <v>35747</v>
      </c>
      <c r="M40">
        <v>41</v>
      </c>
      <c r="N40" t="str">
        <f>PROPER(IF(D40="",(SUBSTITUTE(LEFT(H40,FIND("@",H40)-1),"."," ")),D40))</f>
        <v>Pooja Mishra</v>
      </c>
      <c r="O40">
        <f>IF(ISBLANK(E40),AVERAGE(E:E),E40)</f>
        <v>27</v>
      </c>
      <c r="P40" t="s">
        <v>12</v>
      </c>
      <c r="Q40" t="str">
        <f t="shared" si="0"/>
        <v>(91--7777777686)</v>
      </c>
      <c r="R40" t="str">
        <f t="shared" si="1"/>
        <v>pooja.mishra@yahoo.com</v>
      </c>
      <c r="S40" t="str">
        <f t="shared" si="2"/>
        <v>Data Science</v>
      </c>
      <c r="T40" t="str">
        <f t="shared" si="3"/>
        <v>234 34th St, Bhopal, Madhya Pradesh, India</v>
      </c>
    </row>
    <row r="41" spans="3:20" x14ac:dyDescent="0.3">
      <c r="C41">
        <v>42</v>
      </c>
      <c r="D41" t="s">
        <v>110</v>
      </c>
      <c r="E41">
        <v>29</v>
      </c>
      <c r="F41" t="s">
        <v>8</v>
      </c>
      <c r="G41" t="s">
        <v>143</v>
      </c>
      <c r="H41" t="s">
        <v>111</v>
      </c>
      <c r="J41" t="s">
        <v>112</v>
      </c>
      <c r="K41">
        <v>32258</v>
      </c>
      <c r="M41">
        <v>42</v>
      </c>
      <c r="N41" t="str">
        <f>PROPER(IF(D41="",(SUBSTITUTE(LEFT(H41,FIND("@",H41)-1),"."," ")),D41))</f>
        <v>Mohan Kumar</v>
      </c>
      <c r="O41">
        <f>IF(ISBLANK(E41),AVERAGE(E:E),E41)</f>
        <v>29</v>
      </c>
      <c r="P41" t="s">
        <v>8</v>
      </c>
      <c r="Q41" t="str">
        <f t="shared" si="0"/>
        <v>(91-)</v>
      </c>
      <c r="R41" t="str">
        <f t="shared" si="1"/>
        <v>mohan.kumar@gmail.com</v>
      </c>
      <c r="S41" t="str">
        <f t="shared" si="2"/>
        <v>Sles</v>
      </c>
      <c r="T41" t="str">
        <f t="shared" si="3"/>
        <v>567 35th St, Lucknow, Uttar Pradesh, India</v>
      </c>
    </row>
    <row r="42" spans="3:20" x14ac:dyDescent="0.3">
      <c r="C42">
        <v>43</v>
      </c>
      <c r="D42" t="s">
        <v>113</v>
      </c>
      <c r="E42">
        <v>26</v>
      </c>
      <c r="F42" t="s">
        <v>12</v>
      </c>
      <c r="G42" t="s">
        <v>150</v>
      </c>
      <c r="H42" t="s">
        <v>114</v>
      </c>
      <c r="I42">
        <v>-5555555464</v>
      </c>
      <c r="J42" t="s">
        <v>115</v>
      </c>
      <c r="K42">
        <v>31047</v>
      </c>
      <c r="M42">
        <v>43</v>
      </c>
      <c r="N42" t="str">
        <f>PROPER(IF(D42="",(SUBSTITUTE(LEFT(H42,FIND("@",H42)-1),"."," ")),D42))</f>
        <v>Anjali Gupta</v>
      </c>
      <c r="O42">
        <f>IF(ISBLANK(E42),AVERAGE(E:E),E42)</f>
        <v>26</v>
      </c>
      <c r="P42" t="s">
        <v>12</v>
      </c>
      <c r="Q42" t="str">
        <f t="shared" si="0"/>
        <v>(91--5555555464)</v>
      </c>
      <c r="R42" t="str">
        <f t="shared" si="1"/>
        <v>anjali.gupta@hotmail.com</v>
      </c>
      <c r="S42" t="str">
        <f t="shared" si="2"/>
        <v>Finance/Accounts</v>
      </c>
      <c r="T42" t="str">
        <f t="shared" si="3"/>
        <v>654 36th St, Jaipur, Rajasthan, India</v>
      </c>
    </row>
    <row r="43" spans="3:20" x14ac:dyDescent="0.3">
      <c r="C43">
        <v>44</v>
      </c>
      <c r="E43">
        <v>28</v>
      </c>
      <c r="F43" t="s">
        <v>8</v>
      </c>
      <c r="G43" t="s">
        <v>151</v>
      </c>
      <c r="H43" t="s">
        <v>116</v>
      </c>
      <c r="J43" t="s">
        <v>117</v>
      </c>
      <c r="K43">
        <v>31064</v>
      </c>
      <c r="M43">
        <v>44</v>
      </c>
      <c r="N43" t="str">
        <f>PROPER(IF(D43="",(SUBSTITUTE(LEFT(H43,FIND("@",H43)-1),"."," ")),D43))</f>
        <v>Mukesh Sharma</v>
      </c>
      <c r="O43">
        <f>IF(ISBLANK(E43),AVERAGE(E:E),E43)</f>
        <v>28</v>
      </c>
      <c r="P43" t="s">
        <v>8</v>
      </c>
      <c r="Q43" t="str">
        <f t="shared" si="0"/>
        <v>(91-)</v>
      </c>
      <c r="R43" t="str">
        <f t="shared" si="1"/>
        <v>mukesh.sharma@yahoo.com</v>
      </c>
      <c r="S43" t="str">
        <f t="shared" si="2"/>
        <v>Mangement</v>
      </c>
      <c r="T43" t="str">
        <f t="shared" si="3"/>
        <v>789 37th St, Chennai, Tamil Nadu, India</v>
      </c>
    </row>
    <row r="44" spans="3:20" x14ac:dyDescent="0.3">
      <c r="C44">
        <v>45</v>
      </c>
      <c r="D44" t="s">
        <v>118</v>
      </c>
      <c r="E44">
        <v>31</v>
      </c>
      <c r="F44" t="s">
        <v>8</v>
      </c>
      <c r="G44" t="s">
        <v>152</v>
      </c>
      <c r="H44" t="s">
        <v>119</v>
      </c>
      <c r="I44">
        <v>-8888888797</v>
      </c>
      <c r="K44">
        <v>3108</v>
      </c>
      <c r="M44">
        <v>45</v>
      </c>
      <c r="N44" t="str">
        <f>PROPER(IF(D44="",(SUBSTITUTE(LEFT(H44,FIND("@",H44)-1),"."," ")),D44))</f>
        <v>Arjun Singh</v>
      </c>
      <c r="O44">
        <f>IF(ISBLANK(E44),AVERAGE(E:E),E44)</f>
        <v>31</v>
      </c>
      <c r="P44" t="s">
        <v>8</v>
      </c>
      <c r="Q44" t="str">
        <f t="shared" si="0"/>
        <v>(91--8888888797)</v>
      </c>
      <c r="R44" t="str">
        <f t="shared" si="1"/>
        <v>arjun.singh@gmail.com</v>
      </c>
      <c r="S44" t="str">
        <f t="shared" si="2"/>
        <v>Data Science</v>
      </c>
      <c r="T44" t="str">
        <f t="shared" si="3"/>
        <v>address not available</v>
      </c>
    </row>
    <row r="45" spans="3:20" x14ac:dyDescent="0.3">
      <c r="C45">
        <v>46</v>
      </c>
      <c r="D45" t="s">
        <v>120</v>
      </c>
      <c r="E45">
        <v>27</v>
      </c>
      <c r="F45" t="s">
        <v>12</v>
      </c>
      <c r="G45" t="s">
        <v>144</v>
      </c>
      <c r="H45" t="s">
        <v>121</v>
      </c>
      <c r="I45">
        <v>-7777777686</v>
      </c>
      <c r="J45" t="s">
        <v>122</v>
      </c>
      <c r="K45">
        <v>20205</v>
      </c>
      <c r="M45">
        <v>46</v>
      </c>
      <c r="N45" t="str">
        <f>PROPER(IF(D45="",(SUBSTITUTE(LEFT(H45,FIND("@",H45)-1),"."," ")),D45))</f>
        <v>Divya Patel</v>
      </c>
      <c r="O45">
        <f>IF(ISBLANK(E45),AVERAGE(E:E),E45)</f>
        <v>27</v>
      </c>
      <c r="P45" t="s">
        <v>12</v>
      </c>
      <c r="Q45" t="str">
        <f t="shared" si="0"/>
        <v>(91--7777777686)</v>
      </c>
      <c r="R45" t="str">
        <f t="shared" si="1"/>
        <v>divya.patel@yahoo.com</v>
      </c>
      <c r="S45" t="str">
        <f t="shared" si="2"/>
        <v>Hr</v>
      </c>
      <c r="T45" t="str">
        <f t="shared" si="3"/>
        <v>567 38th St, Hyderabad, Telangana, India</v>
      </c>
    </row>
    <row r="46" spans="3:20" x14ac:dyDescent="0.3">
      <c r="C46">
        <v>47</v>
      </c>
      <c r="E46">
        <v>29</v>
      </c>
      <c r="F46" t="s">
        <v>8</v>
      </c>
      <c r="G46" t="s">
        <v>145</v>
      </c>
      <c r="H46" t="s">
        <v>123</v>
      </c>
      <c r="J46" t="s">
        <v>124</v>
      </c>
      <c r="K46">
        <v>8746</v>
      </c>
      <c r="M46">
        <v>47</v>
      </c>
      <c r="N46" t="str">
        <f>PROPER(IF(D46="",(SUBSTITUTE(LEFT(H46,FIND("@",H46)-1),"."," ")),D46))</f>
        <v>Gaurav Kumar</v>
      </c>
      <c r="O46">
        <f>IF(ISBLANK(E46),AVERAGE(E:E),E46)</f>
        <v>29</v>
      </c>
      <c r="P46" t="s">
        <v>8</v>
      </c>
      <c r="Q46" t="str">
        <f t="shared" si="0"/>
        <v>(91-)</v>
      </c>
      <c r="R46" t="str">
        <f t="shared" si="1"/>
        <v>gaurav.kumar@gmail.com</v>
      </c>
      <c r="S46" t="str">
        <f t="shared" si="2"/>
        <v>Hr</v>
      </c>
      <c r="T46" t="str">
        <f t="shared" si="3"/>
        <v>234 39th St, Pune, Maharashtra, India</v>
      </c>
    </row>
    <row r="47" spans="3:20" x14ac:dyDescent="0.3">
      <c r="C47">
        <v>48</v>
      </c>
      <c r="D47" t="s">
        <v>125</v>
      </c>
      <c r="E47">
        <v>32</v>
      </c>
      <c r="F47" t="s">
        <v>12</v>
      </c>
      <c r="G47" t="s">
        <v>141</v>
      </c>
      <c r="H47" t="s">
        <v>126</v>
      </c>
      <c r="I47">
        <v>-6666666575</v>
      </c>
      <c r="J47" t="s">
        <v>127</v>
      </c>
      <c r="K47">
        <v>15531</v>
      </c>
      <c r="M47">
        <v>48</v>
      </c>
      <c r="N47" t="str">
        <f>PROPER(IF(D47="",(SUBSTITUTE(LEFT(H47,FIND("@",H47)-1),"."," ")),D47))</f>
        <v>Aditi Shah</v>
      </c>
      <c r="O47">
        <f>IF(ISBLANK(E47),AVERAGE(E:E),E47)</f>
        <v>32</v>
      </c>
      <c r="P47" t="s">
        <v>12</v>
      </c>
      <c r="Q47" t="str">
        <f t="shared" si="0"/>
        <v>(91--6666666575)</v>
      </c>
      <c r="R47" t="str">
        <f t="shared" si="1"/>
        <v>aditi.shah@hotmail.com</v>
      </c>
      <c r="S47" t="str">
        <f t="shared" si="2"/>
        <v>It Devlopement</v>
      </c>
      <c r="T47" t="str">
        <f t="shared" si="3"/>
        <v>901 40th St, Ahmedabad, Gujarat, India</v>
      </c>
    </row>
    <row r="48" spans="3:20" x14ac:dyDescent="0.3">
      <c r="C48">
        <v>49</v>
      </c>
      <c r="D48" t="s">
        <v>128</v>
      </c>
      <c r="F48" t="s">
        <v>8</v>
      </c>
      <c r="G48" t="s">
        <v>142</v>
      </c>
      <c r="H48" t="s">
        <v>129</v>
      </c>
      <c r="I48">
        <v>-5555555464</v>
      </c>
      <c r="J48" t="s">
        <v>130</v>
      </c>
      <c r="K48">
        <v>23055</v>
      </c>
      <c r="M48">
        <v>49</v>
      </c>
      <c r="N48" t="str">
        <f>PROPER(IF(D48="",(SUBSTITUTE(LEFT(H48,FIND("@",H48)-1),"."," ")),D48))</f>
        <v>Sandeep Singh</v>
      </c>
      <c r="O48">
        <f>IF(ISBLANK(E48),AVERAGE(E:E),E48)</f>
        <v>29.636363636363637</v>
      </c>
      <c r="P48" t="s">
        <v>8</v>
      </c>
      <c r="Q48" t="str">
        <f t="shared" si="0"/>
        <v>(91--5555555464)</v>
      </c>
      <c r="R48" t="str">
        <f t="shared" si="1"/>
        <v>sandeep.singh@yahoo.com</v>
      </c>
      <c r="S48" t="str">
        <f t="shared" si="2"/>
        <v>Sales</v>
      </c>
      <c r="T48" t="str">
        <f t="shared" si="3"/>
        <v>321 41st St, Bangalore, Karnataka, India</v>
      </c>
    </row>
    <row r="49" spans="3:20" x14ac:dyDescent="0.3">
      <c r="C49">
        <v>50</v>
      </c>
      <c r="D49" t="s">
        <v>131</v>
      </c>
      <c r="E49">
        <v>30</v>
      </c>
      <c r="F49" t="s">
        <v>12</v>
      </c>
      <c r="G49" t="s">
        <v>143</v>
      </c>
      <c r="H49" t="s">
        <v>132</v>
      </c>
      <c r="J49" t="s">
        <v>133</v>
      </c>
      <c r="K49">
        <v>18647</v>
      </c>
      <c r="M49">
        <v>50</v>
      </c>
      <c r="N49" t="str">
        <f>PROPER(IF(D49="",(SUBSTITUTE(LEFT(H49,FIND("@",H49)-1),"."," ")),D49))</f>
        <v>Shalini Sharma</v>
      </c>
      <c r="O49">
        <f>IF(ISBLANK(E49),AVERAGE(E:E),E49)</f>
        <v>30</v>
      </c>
      <c r="P49" t="s">
        <v>12</v>
      </c>
      <c r="Q49" t="str">
        <f t="shared" si="0"/>
        <v>(91-)</v>
      </c>
      <c r="R49" t="str">
        <f t="shared" si="1"/>
        <v>shalini.sharma@gmail.com</v>
      </c>
      <c r="S49" t="str">
        <f t="shared" si="2"/>
        <v>Sles</v>
      </c>
      <c r="T49" t="str">
        <f t="shared" si="3"/>
        <v>789 42nd St, Mumbai, Maharashtra, India</v>
      </c>
    </row>
  </sheetData>
  <sortState xmlns:xlrd2="http://schemas.microsoft.com/office/spreadsheetml/2017/richdata2" ref="C2:K49">
    <sortCondition sortBy="cellColor" ref="D2:D49" dxfId="2"/>
    <sortCondition sortBy="cellColor" ref="H2:H49" dxfId="1"/>
  </sortState>
  <conditionalFormatting sqref="C1:K49">
    <cfRule type="top10" dxfId="0" priority="1" rank="10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ishaan khurana</cp:lastModifiedBy>
  <dcterms:created xsi:type="dcterms:W3CDTF">2023-04-26T07:21:03Z</dcterms:created>
  <dcterms:modified xsi:type="dcterms:W3CDTF">2023-05-24T19:38:09Z</dcterms:modified>
</cp:coreProperties>
</file>